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ira-dev/Downloads/vendor-management-umira/vms/public/template/"/>
    </mc:Choice>
  </mc:AlternateContent>
  <xr:revisionPtr revIDLastSave="0" documentId="13_ncr:1_{1D23ADEF-5B0B-FA44-B512-BD0F73437339}" xr6:coauthVersionLast="47" xr6:coauthVersionMax="47" xr10:uidLastSave="{00000000-0000-0000-0000-000000000000}"/>
  <bookViews>
    <workbookView xWindow="0" yWindow="760" windowWidth="30240" windowHeight="17540" xr2:uid="{79FE6A60-A693-AC4A-B726-5C38200B2C56}"/>
  </bookViews>
  <sheets>
    <sheet name="Lembar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15" i="1"/>
  <c r="J14" i="1"/>
  <c r="J13" i="1"/>
  <c r="D2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C2" i="1" l="1"/>
  <c r="A2" i="1" s="1"/>
</calcChain>
</file>

<file path=xl/sharedStrings.xml><?xml version="1.0" encoding="utf-8"?>
<sst xmlns="http://schemas.openxmlformats.org/spreadsheetml/2006/main" count="10" uniqueCount="10">
  <si>
    <t>Klasifikasi</t>
  </si>
  <si>
    <t>Jenis</t>
  </si>
  <si>
    <t>Spesifikasi</t>
  </si>
  <si>
    <t>Pipa Galvanis</t>
  </si>
  <si>
    <t xml:space="preserve"> Pipa Galvanis 1" </t>
  </si>
  <si>
    <t>btg</t>
  </si>
  <si>
    <t>Kode Jenis</t>
  </si>
  <si>
    <t>Kode Barang</t>
  </si>
  <si>
    <t>Nama Bahan</t>
  </si>
  <si>
    <t>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</si>
</sst>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00"/>
    <numFmt numFmtId="165" formatCode="00"/>
  </numFmts>
  <fonts count="6" x14ac:knownFonts="1">
    <font>
      <sz val="12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  <font>
      <sz val="11"/>
      <color theme="1"/>
      <name val="Consolas"/>
      <family val="3"/>
    </font>
    <font>
      <b/>
      <sz val="12"/>
      <name val="Calibri Light"/>
      <family val="2"/>
    </font>
    <font>
      <sz val="12"/>
      <name val="Calibri Light"/>
      <family val="2"/>
    </font>
    <font>
      <sz val="1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4" fontId="3" fillId="2" borderId="2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 applyProtection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shrinkToFit="1"/>
    </xf>
    <xf numFmtId="164" fontId="4" fillId="2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0" fontId="4" fillId="2" borderId="2" xfId="1" quotePrefix="1" applyNumberFormat="1" applyFont="1" applyFill="1" applyBorder="1" applyAlignment="1" applyProtection="1">
      <alignment horizontal="center"/>
    </xf>
    <xf numFmtId="4" fontId="4" fillId="2" borderId="2" xfId="0" applyNumberFormat="1" applyFont="1" applyFill="1" applyBorder="1"/>
    <xf numFmtId="4" fontId="4" fillId="2" borderId="2" xfId="0" applyNumberFormat="1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</cellXfs>
  <cellStyles count="2">
    <cellStyle name="Ko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2D24-0357-C04A-A7B6-AC28379B4E00}">
  <dimension ref="A1:L34"/>
  <sheetViews>
    <sheetView tabSelected="1" workbookViewId="0">
      <selection activeCell="I6" sqref="I6"/>
    </sheetView>
  </sheetViews>
  <sheetFormatPr baseColWidth="10" defaultRowHeight="16" x14ac:dyDescent="0.2"/>
  <cols>
    <col min="6" max="6" width="27.6640625" customWidth="1"/>
    <col min="10" max="12" width="0" hidden="1" customWidth="1"/>
  </cols>
  <sheetData>
    <row r="1" spans="1:12" ht="34" x14ac:dyDescent="0.2">
      <c r="A1" s="2" t="s">
        <v>7</v>
      </c>
      <c r="B1" s="3" t="s">
        <v>0</v>
      </c>
      <c r="C1" s="3" t="s">
        <v>6</v>
      </c>
      <c r="D1" s="4" t="s">
        <v>2</v>
      </c>
      <c r="E1" s="4" t="s">
        <v>1</v>
      </c>
      <c r="F1" s="5" t="s">
        <v>8</v>
      </c>
      <c r="G1" s="5" t="s">
        <v>9</v>
      </c>
    </row>
    <row r="2" spans="1:12" ht="19" customHeight="1" x14ac:dyDescent="0.2">
      <c r="A2" s="6" t="str">
        <f>_xlfn.CONCAT(B2,C2,0,D2)</f>
        <v>107001</v>
      </c>
      <c r="B2" s="7">
        <v>1</v>
      </c>
      <c r="C2" s="6" t="str">
        <f>VLOOKUP(E2,$J$13:$K$34,2,FALSE)</f>
        <v>070</v>
      </c>
      <c r="D2" s="8">
        <f>IF(E2&lt;&gt;E1,1,D1+1)</f>
        <v>1</v>
      </c>
      <c r="E2" s="9" t="s">
        <v>3</v>
      </c>
      <c r="F2" s="10" t="s">
        <v>4</v>
      </c>
      <c r="G2" s="11" t="s">
        <v>5</v>
      </c>
    </row>
    <row r="3" spans="1:12" ht="16" customHeight="1" x14ac:dyDescent="0.2"/>
    <row r="13" spans="1:12" x14ac:dyDescent="0.2">
      <c r="J13" t="str">
        <f>E2</f>
        <v>Pipa Galvanis</v>
      </c>
      <c r="K13" s="12" t="str">
        <f>_xlfn.CONCAT(0,L13)</f>
        <v>070</v>
      </c>
      <c r="L13" s="1">
        <v>70</v>
      </c>
    </row>
    <row r="14" spans="1:12" x14ac:dyDescent="0.2">
      <c r="J14" t="e">
        <f>#REF!</f>
        <v>#REF!</v>
      </c>
      <c r="K14" s="12" t="str">
        <f t="shared" ref="K14:K34" si="0">_xlfn.CONCAT(0,L14)</f>
        <v>071</v>
      </c>
      <c r="L14" s="1">
        <v>71</v>
      </c>
    </row>
    <row r="15" spans="1:12" x14ac:dyDescent="0.2">
      <c r="J15" t="e">
        <f>#REF!</f>
        <v>#REF!</v>
      </c>
      <c r="K15" s="12" t="str">
        <f t="shared" si="0"/>
        <v>072</v>
      </c>
      <c r="L15" s="1">
        <v>72</v>
      </c>
    </row>
    <row r="16" spans="1:12" x14ac:dyDescent="0.2">
      <c r="J16" t="e">
        <f>#REF!</f>
        <v>#REF!</v>
      </c>
      <c r="K16" s="12" t="str">
        <f t="shared" si="0"/>
        <v>073</v>
      </c>
      <c r="L16" s="1">
        <v>73</v>
      </c>
    </row>
    <row r="17" spans="10:12" x14ac:dyDescent="0.2">
      <c r="J17" t="e">
        <f>#REF!</f>
        <v>#REF!</v>
      </c>
      <c r="K17" s="12" t="str">
        <f t="shared" si="0"/>
        <v>074</v>
      </c>
      <c r="L17" s="1">
        <v>74</v>
      </c>
    </row>
    <row r="18" spans="10:12" x14ac:dyDescent="0.2">
      <c r="J18" t="e">
        <f>#REF!</f>
        <v>#REF!</v>
      </c>
      <c r="K18" s="12" t="str">
        <f t="shared" si="0"/>
        <v>075</v>
      </c>
      <c r="L18" s="1">
        <v>75</v>
      </c>
    </row>
    <row r="19" spans="10:12" x14ac:dyDescent="0.2">
      <c r="J19" t="e">
        <f>#REF!</f>
        <v>#REF!</v>
      </c>
      <c r="K19" s="12" t="str">
        <f t="shared" si="0"/>
        <v>076</v>
      </c>
      <c r="L19" s="1">
        <v>76</v>
      </c>
    </row>
    <row r="20" spans="10:12" x14ac:dyDescent="0.2">
      <c r="J20" t="e">
        <f>#REF!</f>
        <v>#REF!</v>
      </c>
      <c r="K20" s="12" t="str">
        <f t="shared" si="0"/>
        <v>077</v>
      </c>
      <c r="L20" s="1">
        <v>77</v>
      </c>
    </row>
    <row r="21" spans="10:12" x14ac:dyDescent="0.2">
      <c r="K21" s="12" t="str">
        <f t="shared" si="0"/>
        <v>078</v>
      </c>
      <c r="L21" s="1">
        <v>78</v>
      </c>
    </row>
    <row r="22" spans="10:12" x14ac:dyDescent="0.2">
      <c r="K22" s="12" t="str">
        <f t="shared" si="0"/>
        <v>079</v>
      </c>
      <c r="L22" s="1">
        <v>79</v>
      </c>
    </row>
    <row r="23" spans="10:12" x14ac:dyDescent="0.2">
      <c r="K23" s="12" t="str">
        <f t="shared" si="0"/>
        <v>080</v>
      </c>
      <c r="L23" s="1">
        <v>80</v>
      </c>
    </row>
    <row r="24" spans="10:12" x14ac:dyDescent="0.2">
      <c r="K24" s="12" t="str">
        <f t="shared" si="0"/>
        <v>081</v>
      </c>
      <c r="L24" s="1">
        <v>81</v>
      </c>
    </row>
    <row r="25" spans="10:12" x14ac:dyDescent="0.2">
      <c r="K25" s="12" t="str">
        <f t="shared" si="0"/>
        <v>082</v>
      </c>
      <c r="L25" s="1">
        <v>82</v>
      </c>
    </row>
    <row r="26" spans="10:12" x14ac:dyDescent="0.2">
      <c r="K26" s="12" t="str">
        <f t="shared" si="0"/>
        <v>083</v>
      </c>
      <c r="L26" s="1">
        <v>83</v>
      </c>
    </row>
    <row r="27" spans="10:12" x14ac:dyDescent="0.2">
      <c r="K27" s="12" t="str">
        <f t="shared" si="0"/>
        <v>084</v>
      </c>
      <c r="L27" s="1">
        <v>84</v>
      </c>
    </row>
    <row r="28" spans="10:12" x14ac:dyDescent="0.2">
      <c r="K28" s="12" t="str">
        <f t="shared" si="0"/>
        <v>085</v>
      </c>
      <c r="L28" s="1">
        <v>85</v>
      </c>
    </row>
    <row r="29" spans="10:12" x14ac:dyDescent="0.2">
      <c r="K29" s="12" t="str">
        <f t="shared" si="0"/>
        <v>086</v>
      </c>
      <c r="L29" s="1">
        <v>86</v>
      </c>
    </row>
    <row r="30" spans="10:12" x14ac:dyDescent="0.2">
      <c r="K30" s="12" t="str">
        <f t="shared" si="0"/>
        <v>087</v>
      </c>
      <c r="L30" s="1">
        <v>87</v>
      </c>
    </row>
    <row r="31" spans="10:12" x14ac:dyDescent="0.2">
      <c r="K31" s="12" t="str">
        <f t="shared" si="0"/>
        <v>088</v>
      </c>
      <c r="L31" s="1">
        <v>88</v>
      </c>
    </row>
    <row r="32" spans="10:12" x14ac:dyDescent="0.2">
      <c r="K32" s="12" t="str">
        <f t="shared" si="0"/>
        <v>089</v>
      </c>
      <c r="L32" s="1">
        <v>89</v>
      </c>
    </row>
    <row r="33" spans="11:12" x14ac:dyDescent="0.2">
      <c r="K33" s="12" t="str">
        <f t="shared" si="0"/>
        <v>090</v>
      </c>
      <c r="L33" s="1">
        <v>90</v>
      </c>
    </row>
    <row r="34" spans="11:12" x14ac:dyDescent="0.2">
      <c r="K34" s="12" t="str">
        <f t="shared" si="0"/>
        <v>091</v>
      </c>
      <c r="L34" s="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 Hanafi</dc:creator>
  <cp:lastModifiedBy>Hafid Hanafi</cp:lastModifiedBy>
  <dcterms:created xsi:type="dcterms:W3CDTF">2026-03-10T07:07:57Z</dcterms:created>
  <dcterms:modified xsi:type="dcterms:W3CDTF">2026-05-07T04:29:01Z</dcterms:modified>
</cp:coreProperties>
</file>